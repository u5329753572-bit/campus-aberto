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_User\Documents\FACULDADE\1º SEMESTRE\DEMOGRAFIA\"/>
    </mc:Choice>
  </mc:AlternateContent>
  <xr:revisionPtr revIDLastSave="0" documentId="13_ncr:1_{08344613-9E8F-4830-AF3B-46379AE6D76B}" xr6:coauthVersionLast="47" xr6:coauthVersionMax="47" xr10:uidLastSave="{00000000-0000-0000-0000-000000000000}"/>
  <bookViews>
    <workbookView xWindow="-108" yWindow="-108" windowWidth="23256" windowHeight="12456" xr2:uid="{43A9A63A-A009-4EF3-84B3-5F971B167E38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0" i="1" l="1"/>
  <c r="W20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F20" i="1" l="1"/>
  <c r="W5" i="1"/>
  <c r="V20" i="1"/>
  <c r="V5" i="1"/>
  <c r="U5" i="1"/>
  <c r="T5" i="1"/>
  <c r="S5" i="1"/>
  <c r="O10" i="1"/>
  <c r="O19" i="1"/>
  <c r="O7" i="1"/>
  <c r="O8" i="1"/>
  <c r="O9" i="1"/>
  <c r="V10" i="1"/>
  <c r="V11" i="1"/>
  <c r="O12" i="1"/>
  <c r="O13" i="1"/>
  <c r="V14" i="1"/>
  <c r="O15" i="1"/>
  <c r="O16" i="1"/>
  <c r="O17" i="1"/>
  <c r="V18" i="1"/>
  <c r="L6" i="1"/>
  <c r="O6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K18" i="1"/>
  <c r="N18" i="1" s="1"/>
  <c r="K19" i="1"/>
  <c r="N19" i="1" s="1"/>
  <c r="K7" i="1"/>
  <c r="N7" i="1" s="1"/>
  <c r="K6" i="1"/>
  <c r="N6" i="1" s="1"/>
  <c r="F6" i="1"/>
  <c r="F7" i="1"/>
  <c r="F8" i="1"/>
  <c r="F9" i="1"/>
  <c r="H9" i="1" s="1"/>
  <c r="F10" i="1"/>
  <c r="F11" i="1"/>
  <c r="F12" i="1"/>
  <c r="F13" i="1"/>
  <c r="F14" i="1"/>
  <c r="F15" i="1"/>
  <c r="F16" i="1"/>
  <c r="F17" i="1"/>
  <c r="H17" i="1" s="1"/>
  <c r="F18" i="1"/>
  <c r="F19" i="1"/>
  <c r="F5" i="1"/>
  <c r="R5" i="1" s="1"/>
  <c r="H16" i="1" l="1"/>
  <c r="H8" i="1"/>
  <c r="H13" i="1"/>
  <c r="H18" i="1"/>
  <c r="H10" i="1"/>
  <c r="V7" i="1"/>
  <c r="O18" i="1"/>
  <c r="V6" i="1"/>
  <c r="O14" i="1"/>
  <c r="H14" i="1"/>
  <c r="O11" i="1"/>
  <c r="U21" i="1"/>
  <c r="U22" i="1" s="1"/>
  <c r="V15" i="1"/>
  <c r="V13" i="1"/>
  <c r="V12" i="1"/>
  <c r="H7" i="1"/>
  <c r="V19" i="1"/>
  <c r="V17" i="1"/>
  <c r="V9" i="1"/>
  <c r="V16" i="1"/>
  <c r="V8" i="1"/>
  <c r="H19" i="1"/>
  <c r="H11" i="1"/>
  <c r="H6" i="1"/>
  <c r="H12" i="1"/>
  <c r="H15" i="1"/>
  <c r="W21" i="1" l="1"/>
  <c r="W22" i="1" s="1"/>
  <c r="S21" i="1"/>
  <c r="S22" i="1" s="1"/>
  <c r="H21" i="1"/>
  <c r="B25" i="1" l="1"/>
</calcChain>
</file>

<file path=xl/sharedStrings.xml><?xml version="1.0" encoding="utf-8"?>
<sst xmlns="http://schemas.openxmlformats.org/spreadsheetml/2006/main" count="100" uniqueCount="47">
  <si>
    <t>IDADES</t>
  </si>
  <si>
    <t>H</t>
  </si>
  <si>
    <t>M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</si>
  <si>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</si>
  <si>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</si>
  <si>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</si>
  <si>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</si>
  <si>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</si>
  <si>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</si>
  <si>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</si>
  <si>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</si>
  <si>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</si>
  <si>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</si>
  <si>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</si>
  <si>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</si>
  <si>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</si>
  <si>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</si>
  <si>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</si>
  <si>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</si>
  <si>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Rm</t>
  </si>
  <si>
    <t>Calculo Relação Masculinidade (Rm)</t>
  </si>
  <si>
    <t>DADOS INE</t>
  </si>
  <si>
    <t>DS</t>
  </si>
  <si>
    <t>Calculo Diferenças Sucessivas (Ds)</t>
  </si>
  <si>
    <t>Indice de Regulariedade das idade (IRI)</t>
  </si>
  <si>
    <t>IRI</t>
  </si>
  <si>
    <t>IRI H</t>
  </si>
  <si>
    <t>IRI M</t>
  </si>
  <si>
    <t>D H</t>
  </si>
  <si>
    <t>D M</t>
  </si>
  <si>
    <t>Diferenças</t>
  </si>
  <si>
    <t>Dif H a 100</t>
  </si>
  <si>
    <t>IRI (H)</t>
  </si>
  <si>
    <t>IRI (M)</t>
  </si>
  <si>
    <t>Dif M a 100</t>
  </si>
  <si>
    <t>SOMA</t>
  </si>
  <si>
    <t xml:space="preserve"> -----------»</t>
  </si>
  <si>
    <t>CALCULO ICNU</t>
  </si>
  <si>
    <t>FORMULA = (3xDS)+Dif H + Dif M</t>
  </si>
  <si>
    <t>Resultados</t>
  </si>
  <si>
    <t>DEMOGRAFIA - CALCULO ICNU</t>
  </si>
  <si>
    <t>(Dados do quadro Resultado)</t>
  </si>
  <si>
    <r>
      <t xml:space="preserve">Formula Exemplo:
</t>
    </r>
    <r>
      <rPr>
        <sz val="11"/>
        <color theme="1"/>
        <rFont val="Calibri"/>
        <family val="2"/>
        <scheme val="minor"/>
      </rPr>
      <t>Ds</t>
    </r>
    <r>
      <rPr>
        <sz val="9"/>
        <color theme="1"/>
        <rFont val="Calibri"/>
        <family val="2"/>
        <scheme val="minor"/>
      </rPr>
      <t>(5-9)</t>
    </r>
    <r>
      <rPr>
        <sz val="11"/>
        <color theme="1"/>
        <rFont val="Calibri"/>
        <family val="2"/>
        <scheme val="minor"/>
      </rPr>
      <t>=Rm</t>
    </r>
    <r>
      <rPr>
        <sz val="9"/>
        <color theme="1"/>
        <rFont val="Calibri"/>
        <family val="2"/>
        <scheme val="minor"/>
      </rPr>
      <t>(5-9)</t>
    </r>
    <r>
      <rPr>
        <sz val="11"/>
        <color theme="1"/>
        <rFont val="Calibri"/>
        <family val="2"/>
        <scheme val="minor"/>
      </rPr>
      <t>-Rm</t>
    </r>
    <r>
      <rPr>
        <sz val="9"/>
        <color theme="1"/>
        <rFont val="Calibri"/>
        <family val="2"/>
        <scheme val="minor"/>
      </rPr>
      <t>(0-4)</t>
    </r>
  </si>
  <si>
    <r>
      <rPr>
        <b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IRI H </t>
    </r>
    <r>
      <rPr>
        <sz val="9"/>
        <color theme="1"/>
        <rFont val="Calibri"/>
        <family val="2"/>
        <scheme val="minor"/>
      </rPr>
      <t>(5-9)</t>
    </r>
    <r>
      <rPr>
        <sz val="11"/>
        <color theme="1"/>
        <rFont val="Calibri"/>
        <family val="2"/>
        <scheme val="minor"/>
      </rPr>
      <t xml:space="preserve">=Valores H dados INE/[(Valores H </t>
    </r>
    <r>
      <rPr>
        <sz val="9"/>
        <color theme="1"/>
        <rFont val="Calibri"/>
        <family val="2"/>
        <scheme val="minor"/>
      </rPr>
      <t xml:space="preserve">0-4 </t>
    </r>
    <r>
      <rPr>
        <sz val="11"/>
        <color theme="1"/>
        <rFont val="Calibri"/>
        <family val="2"/>
        <scheme val="minor"/>
      </rPr>
      <t xml:space="preserve">dados INE+Valores H </t>
    </r>
    <r>
      <rPr>
        <sz val="9"/>
        <color theme="1"/>
        <rFont val="Calibri"/>
        <family val="2"/>
        <scheme val="minor"/>
      </rPr>
      <t>10-14</t>
    </r>
    <r>
      <rPr>
        <sz val="11"/>
        <color theme="1"/>
        <rFont val="Calibri"/>
        <family val="2"/>
        <scheme val="minor"/>
      </rPr>
      <t xml:space="preserve"> dados INE)/2] X 100</t>
    </r>
  </si>
  <si>
    <r>
      <rPr>
        <b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D100</t>
    </r>
    <r>
      <rPr>
        <sz val="9"/>
        <color theme="1"/>
        <rFont val="Calibri"/>
        <family val="2"/>
        <scheme val="minor"/>
      </rPr>
      <t>(5-9)</t>
    </r>
    <r>
      <rPr>
        <sz val="11"/>
        <color theme="1"/>
        <rFont val="Calibri"/>
        <family val="2"/>
        <scheme val="minor"/>
      </rPr>
      <t>=100-IRH</t>
    </r>
    <r>
      <rPr>
        <sz val="9"/>
        <color theme="1"/>
        <rFont val="Calibri"/>
        <family val="2"/>
        <scheme val="minor"/>
      </rPr>
      <t>(5-9)</t>
    </r>
  </si>
  <si>
    <t>Fonte: INE, Recenseamento da população e habitação - Censos 2021</t>
  </si>
  <si>
    <r>
      <rPr>
        <b/>
        <sz val="11"/>
        <color theme="1"/>
        <rFont val="Calibri"/>
        <family val="2"/>
        <scheme val="minor"/>
      </rPr>
      <t xml:space="preserve">Formula Exemplo: </t>
    </r>
    <r>
      <rPr>
        <sz val="11"/>
        <color theme="1"/>
        <rFont val="Calibri"/>
        <family val="2"/>
        <scheme val="minor"/>
      </rPr>
      <t xml:space="preserve">
Rm </t>
    </r>
    <r>
      <rPr>
        <sz val="9"/>
        <color theme="1"/>
        <rFont val="Calibri"/>
        <family val="2"/>
        <scheme val="minor"/>
      </rPr>
      <t>(0-4)</t>
    </r>
    <r>
      <rPr>
        <sz val="11"/>
        <color theme="1"/>
        <rFont val="Calibri"/>
        <family val="2"/>
        <scheme val="minor"/>
      </rPr>
      <t>=275969 (H)/263522(M)*100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</si>
</sst>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/>
    </xf>
    <xf numFmtId="0" fontId="7" fillId="0" borderId="0" xfId="0" applyFont="1"/>
    <xf numFmtId="2" fontId="8" fillId="0" borderId="0" xfId="0" applyNumberFormat="1" applyFont="1" applyAlignment="1">
      <alignment horizontal="center"/>
    </xf>
    <xf numFmtId="0" fontId="8" fillId="0" borderId="0" xfId="0" applyFont="1"/>
    <xf numFmtId="49" fontId="1" fillId="3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4" borderId="0" xfId="0" applyFon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2" fontId="2" fillId="5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11" fillId="0" borderId="0" xfId="0" applyNumberFormat="1" applyFont="1" applyAlignment="1">
      <alignment horizontal="left" vertical="center"/>
    </xf>
    <xf numFmtId="49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7A77-C482-4F76-B7C0-BCA3C2F5F89F}">
  <dimension ref="A1:W25"/>
  <sheetViews>
    <sheetView showGridLines="0" tabSelected="1" topLeftCell="E1" workbookViewId="0">
      <selection activeCell="H21" sqref="H21"/>
    </sheetView>
  </sheetViews>
  <sheetFormatPr defaultRowHeight="14.4" x14ac:dyDescent="0.3"/>
  <cols>
    <col min="1" max="1" width="15.6640625" style="1" customWidth="1"/>
    <col min="2" max="3" width="14.5546875" customWidth="1"/>
    <col min="4" max="4" width="7.109375" customWidth="1"/>
    <col min="5" max="5" width="19.44140625" customWidth="1"/>
    <col min="6" max="6" width="17.44140625" style="6" customWidth="1"/>
    <col min="7" max="7" width="4.109375" customWidth="1"/>
    <col min="8" max="8" width="30.21875" style="2" customWidth="1"/>
    <col min="9" max="9" width="4" customWidth="1"/>
    <col min="10" max="10" width="10.109375" customWidth="1"/>
    <col min="11" max="12" width="11.5546875" customWidth="1"/>
    <col min="13" max="13" width="1.88671875" customWidth="1"/>
    <col min="14" max="15" width="11.21875" customWidth="1"/>
    <col min="16" max="16" width="3.44140625" customWidth="1"/>
    <col min="18" max="22" width="9.33203125" customWidth="1"/>
    <col min="23" max="23" width="10.44140625" customWidth="1"/>
  </cols>
  <sheetData>
    <row r="1" spans="1:23" s="36" customFormat="1" ht="18" customHeight="1" x14ac:dyDescent="0.3">
      <c r="A1" s="36" t="s">
        <v>40</v>
      </c>
    </row>
    <row r="2" spans="1:23" s="36" customFormat="1" x14ac:dyDescent="0.3"/>
    <row r="3" spans="1:23" s="24" customFormat="1" ht="19.8" customHeight="1" x14ac:dyDescent="0.3">
      <c r="A3" s="41" t="s">
        <v>21</v>
      </c>
      <c r="B3" s="41"/>
      <c r="C3" s="41"/>
      <c r="E3" s="39" t="s">
        <v>20</v>
      </c>
      <c r="F3" s="39"/>
      <c r="H3" s="25" t="s">
        <v>23</v>
      </c>
      <c r="J3" s="39" t="s">
        <v>24</v>
      </c>
      <c r="K3" s="39"/>
      <c r="L3" s="39"/>
      <c r="N3" s="39" t="s">
        <v>30</v>
      </c>
      <c r="O3" s="39"/>
      <c r="Q3" s="39" t="s">
        <v>39</v>
      </c>
      <c r="R3" s="39"/>
      <c r="S3" s="39"/>
      <c r="T3" s="39"/>
      <c r="U3" s="39"/>
      <c r="V3" s="39"/>
      <c r="W3" s="39"/>
    </row>
    <row r="4" spans="1:23" ht="16.8" customHeight="1" x14ac:dyDescent="0.3">
      <c r="A4" s="9" t="s">
        <v>0</v>
      </c>
      <c r="B4" s="10" t="s">
        <v>1</v>
      </c>
      <c r="C4" s="10" t="s">
        <v>2</v>
      </c>
      <c r="E4" s="11" t="s">
        <v>0</v>
      </c>
      <c r="F4" s="12" t="s">
        <v>19</v>
      </c>
      <c r="H4" s="14" t="s">
        <v>22</v>
      </c>
      <c r="J4" s="11" t="s">
        <v>0</v>
      </c>
      <c r="K4" s="12" t="s">
        <v>26</v>
      </c>
      <c r="L4" s="12" t="s">
        <v>27</v>
      </c>
      <c r="N4" s="12" t="s">
        <v>28</v>
      </c>
      <c r="O4" s="12" t="s">
        <v>29</v>
      </c>
      <c r="Q4" s="11" t="s">
        <v>0</v>
      </c>
      <c r="R4" s="12" t="s">
        <v>19</v>
      </c>
      <c r="S4" s="12" t="s">
        <v>22</v>
      </c>
      <c r="T4" s="12" t="s">
        <v>32</v>
      </c>
      <c r="U4" s="12" t="s">
        <v>31</v>
      </c>
      <c r="V4" s="12" t="s">
        <v>33</v>
      </c>
      <c r="W4" s="12" t="s">
        <v>34</v>
      </c>
    </row>
    <row r="5" spans="1:23" ht="16.8" customHeight="1" x14ac:dyDescent="0.3">
      <c r="A5" s="4" t="s">
        <v>3</v>
      </c>
      <c r="B5" s="5">
        <v>208689</v>
      </c>
      <c r="C5" s="5">
        <v>198905</v>
      </c>
      <c r="E5" s="4" t="s">
        <v>3</v>
      </c>
      <c r="F5" s="8">
        <f>B5/C5*100</f>
        <v>104.9189311480355</v>
      </c>
      <c r="H5" s="3"/>
      <c r="J5" s="4" t="s">
        <v>3</v>
      </c>
      <c r="K5" s="7"/>
      <c r="L5" s="7"/>
      <c r="N5" s="7"/>
      <c r="O5" s="7"/>
      <c r="Q5" s="4" t="s">
        <v>3</v>
      </c>
      <c r="R5" s="8">
        <f>F5</f>
        <v>104.9189311480355</v>
      </c>
      <c r="S5" s="8">
        <f>H5</f>
        <v>0</v>
      </c>
      <c r="T5" s="8">
        <f>K5</f>
        <v>0</v>
      </c>
      <c r="U5" s="8">
        <f>N5</f>
        <v>0</v>
      </c>
      <c r="V5" s="8">
        <f>L5</f>
        <v>0</v>
      </c>
      <c r="W5" s="8">
        <f>O5</f>
        <v>0</v>
      </c>
    </row>
    <row r="6" spans="1:23" ht="16.8" customHeight="1" x14ac:dyDescent="0.3">
      <c r="A6" s="4" t="s">
        <v>4</v>
      </c>
      <c r="B6" s="5">
        <v>221992</v>
      </c>
      <c r="C6" s="5">
        <v>210702</v>
      </c>
      <c r="E6" s="4" t="s">
        <v>4</v>
      </c>
      <c r="F6" s="8">
        <f t="shared" ref="F6:F20" si="0">B6/C6*100</f>
        <v>105.35827851657791</v>
      </c>
      <c r="H6" s="8">
        <f>ABS(F6-F5)</f>
        <v>0.43934736854241407</v>
      </c>
      <c r="J6" s="4" t="s">
        <v>4</v>
      </c>
      <c r="K6" s="8">
        <f>B6/((B5+B7)/2)*100</f>
        <v>96.46541459895883</v>
      </c>
      <c r="L6" s="8">
        <f>C6/((C5+C7)/2)*100</f>
        <v>96.157830605008186</v>
      </c>
      <c r="N6" s="8">
        <f>ABS(100-K6)</f>
        <v>3.5345854010411699</v>
      </c>
      <c r="O6" s="8">
        <f>ABS(100-L6)</f>
        <v>3.8421693949918136</v>
      </c>
      <c r="Q6" s="4" t="s">
        <v>4</v>
      </c>
      <c r="R6" s="8">
        <f t="shared" ref="R6:R20" si="1">F6</f>
        <v>105.35827851657791</v>
      </c>
      <c r="S6" s="8">
        <f t="shared" ref="S6:S20" si="2">H6</f>
        <v>0.43934736854241407</v>
      </c>
      <c r="T6" s="8">
        <f t="shared" ref="T6:T20" si="3">K6</f>
        <v>96.46541459895883</v>
      </c>
      <c r="U6" s="8">
        <f t="shared" ref="U6:U20" si="4">N6</f>
        <v>3.5345854010411699</v>
      </c>
      <c r="V6" s="8">
        <f t="shared" ref="V6:V20" si="5">L6</f>
        <v>96.157830605008186</v>
      </c>
      <c r="W6" s="8">
        <f t="shared" ref="W6:W20" si="6">O6</f>
        <v>3.8421693949918136</v>
      </c>
    </row>
    <row r="7" spans="1:23" ht="16.8" customHeight="1" x14ac:dyDescent="0.3">
      <c r="A7" s="4" t="s">
        <v>5</v>
      </c>
      <c r="B7" s="5">
        <v>251563</v>
      </c>
      <c r="C7" s="5">
        <v>239337</v>
      </c>
      <c r="E7" s="4" t="s">
        <v>5</v>
      </c>
      <c r="F7" s="8">
        <f t="shared" si="0"/>
        <v>105.10827828543017</v>
      </c>
      <c r="H7" s="8">
        <f t="shared" ref="H7:H19" si="7">ABS(F7-F6)</f>
        <v>0.2500002311477374</v>
      </c>
      <c r="J7" s="4" t="s">
        <v>5</v>
      </c>
      <c r="K7" s="8">
        <f>B7/((B6+B8)/2)*100</f>
        <v>102.115473216116</v>
      </c>
      <c r="L7" s="8">
        <f t="shared" ref="L7:L19" si="8">C7/((C6+C8)/2)*100</f>
        <v>102.24122721767863</v>
      </c>
      <c r="N7" s="8">
        <f t="shared" ref="N7:N19" si="9">ABS(100-K7)</f>
        <v>2.1154732161160013</v>
      </c>
      <c r="O7" s="8">
        <f t="shared" ref="O7:O19" si="10">ABS(100-L7)</f>
        <v>2.2412272176786274</v>
      </c>
      <c r="Q7" s="4" t="s">
        <v>5</v>
      </c>
      <c r="R7" s="8">
        <f t="shared" si="1"/>
        <v>105.10827828543017</v>
      </c>
      <c r="S7" s="8">
        <f t="shared" si="2"/>
        <v>0.2500002311477374</v>
      </c>
      <c r="T7" s="8">
        <f t="shared" si="3"/>
        <v>102.115473216116</v>
      </c>
      <c r="U7" s="8">
        <f t="shared" si="4"/>
        <v>2.1154732161160013</v>
      </c>
      <c r="V7" s="8">
        <f t="shared" si="5"/>
        <v>102.24122721767863</v>
      </c>
      <c r="W7" s="8">
        <f t="shared" si="6"/>
        <v>2.2412272176786274</v>
      </c>
    </row>
    <row r="8" spans="1:23" ht="16.8" customHeight="1" x14ac:dyDescent="0.3">
      <c r="A8" s="4" t="s">
        <v>6</v>
      </c>
      <c r="B8" s="5">
        <v>270711</v>
      </c>
      <c r="C8" s="5">
        <v>257479</v>
      </c>
      <c r="E8" s="4" t="s">
        <v>6</v>
      </c>
      <c r="F8" s="8">
        <f t="shared" si="0"/>
        <v>105.13905988449544</v>
      </c>
      <c r="H8" s="8">
        <f t="shared" si="7"/>
        <v>3.0781599065264231E-2</v>
      </c>
      <c r="J8" s="4" t="s">
        <v>6</v>
      </c>
      <c r="K8" s="8">
        <f t="shared" ref="K8:K19" si="11">B8/((B7+B9)/2)*100</f>
        <v>100.81877007588101</v>
      </c>
      <c r="L8" s="8">
        <f t="shared" si="8"/>
        <v>100.23084169631666</v>
      </c>
      <c r="N8" s="8">
        <f t="shared" si="9"/>
        <v>0.81877007588100525</v>
      </c>
      <c r="O8" s="8">
        <f t="shared" si="10"/>
        <v>0.2308416963166593</v>
      </c>
      <c r="Q8" s="4" t="s">
        <v>6</v>
      </c>
      <c r="R8" s="8">
        <f t="shared" si="1"/>
        <v>105.13905988449544</v>
      </c>
      <c r="S8" s="8">
        <f t="shared" si="2"/>
        <v>3.0781599065264231E-2</v>
      </c>
      <c r="T8" s="8">
        <f t="shared" si="3"/>
        <v>100.81877007588101</v>
      </c>
      <c r="U8" s="8">
        <f t="shared" si="4"/>
        <v>0.81877007588100525</v>
      </c>
      <c r="V8" s="8">
        <f t="shared" si="5"/>
        <v>100.23084169631666</v>
      </c>
      <c r="W8" s="8">
        <f t="shared" si="6"/>
        <v>0.2308416963166593</v>
      </c>
    </row>
    <row r="9" spans="1:23" ht="16.8" customHeight="1" x14ac:dyDescent="0.3">
      <c r="A9" s="4" t="s">
        <v>7</v>
      </c>
      <c r="B9" s="5">
        <v>285462</v>
      </c>
      <c r="C9" s="5">
        <v>274435</v>
      </c>
      <c r="E9" s="4" t="s">
        <v>7</v>
      </c>
      <c r="F9" s="8">
        <f t="shared" si="0"/>
        <v>104.01807349645635</v>
      </c>
      <c r="H9" s="8">
        <f t="shared" si="7"/>
        <v>1.1209863880390856</v>
      </c>
      <c r="J9" s="4" t="s">
        <v>7</v>
      </c>
      <c r="K9" s="8">
        <f t="shared" si="11"/>
        <v>104.92052728204959</v>
      </c>
      <c r="L9" s="8">
        <f t="shared" si="8"/>
        <v>104.36735361341087</v>
      </c>
      <c r="N9" s="8">
        <f t="shared" si="9"/>
        <v>4.9205272820495907</v>
      </c>
      <c r="O9" s="8">
        <f t="shared" si="10"/>
        <v>4.3673536134108701</v>
      </c>
      <c r="Q9" s="4" t="s">
        <v>7</v>
      </c>
      <c r="R9" s="8">
        <f t="shared" si="1"/>
        <v>104.01807349645635</v>
      </c>
      <c r="S9" s="8">
        <f t="shared" si="2"/>
        <v>1.1209863880390856</v>
      </c>
      <c r="T9" s="8">
        <f t="shared" si="3"/>
        <v>104.92052728204959</v>
      </c>
      <c r="U9" s="8">
        <f t="shared" si="4"/>
        <v>4.9205272820495907</v>
      </c>
      <c r="V9" s="8">
        <f t="shared" si="5"/>
        <v>104.36735361341087</v>
      </c>
      <c r="W9" s="8">
        <f t="shared" si="6"/>
        <v>4.3673536134108701</v>
      </c>
    </row>
    <row r="10" spans="1:23" ht="16.8" customHeight="1" x14ac:dyDescent="0.3">
      <c r="A10" s="4" t="s">
        <v>8</v>
      </c>
      <c r="B10" s="5">
        <v>273438</v>
      </c>
      <c r="C10" s="5">
        <v>268423</v>
      </c>
      <c r="E10" s="4" t="s">
        <v>8</v>
      </c>
      <c r="F10" s="8">
        <f t="shared" si="0"/>
        <v>101.8683197788565</v>
      </c>
      <c r="H10" s="8">
        <f t="shared" si="7"/>
        <v>2.1497537175998502</v>
      </c>
      <c r="J10" s="4" t="s">
        <v>8</v>
      </c>
      <c r="K10" s="8">
        <f t="shared" si="11"/>
        <v>97.004764421865957</v>
      </c>
      <c r="L10" s="8">
        <f t="shared" si="8"/>
        <v>96.343634471124503</v>
      </c>
      <c r="N10" s="8">
        <f t="shared" si="9"/>
        <v>2.995235578134043</v>
      </c>
      <c r="O10" s="8">
        <f t="shared" si="10"/>
        <v>3.6563655288754973</v>
      </c>
      <c r="Q10" s="4" t="s">
        <v>8</v>
      </c>
      <c r="R10" s="8">
        <f t="shared" si="1"/>
        <v>101.8683197788565</v>
      </c>
      <c r="S10" s="8">
        <f t="shared" si="2"/>
        <v>2.1497537175998502</v>
      </c>
      <c r="T10" s="8">
        <f t="shared" si="3"/>
        <v>97.004764421865957</v>
      </c>
      <c r="U10" s="8">
        <f t="shared" si="4"/>
        <v>2.995235578134043</v>
      </c>
      <c r="V10" s="8">
        <f t="shared" si="5"/>
        <v>96.343634471124503</v>
      </c>
      <c r="W10" s="8">
        <f t="shared" si="6"/>
        <v>3.6563655288754973</v>
      </c>
    </row>
    <row r="11" spans="1:23" ht="16.8" customHeight="1" x14ac:dyDescent="0.3">
      <c r="A11" s="4" t="s">
        <v>9</v>
      </c>
      <c r="B11" s="5">
        <v>278300</v>
      </c>
      <c r="C11" s="5">
        <v>282785</v>
      </c>
      <c r="E11" s="4" t="s">
        <v>9</v>
      </c>
      <c r="F11" s="8">
        <f t="shared" si="0"/>
        <v>98.413989426596189</v>
      </c>
      <c r="H11" s="8">
        <f t="shared" si="7"/>
        <v>3.4543303522603139</v>
      </c>
      <c r="J11" s="4" t="s">
        <v>9</v>
      </c>
      <c r="K11" s="8">
        <f t="shared" si="11"/>
        <v>94.835180001124527</v>
      </c>
      <c r="L11" s="8">
        <f t="shared" si="8"/>
        <v>94.233396647672365</v>
      </c>
      <c r="N11" s="8">
        <f t="shared" si="9"/>
        <v>5.1648199988754726</v>
      </c>
      <c r="O11" s="8">
        <f t="shared" si="10"/>
        <v>5.7666033523276354</v>
      </c>
      <c r="Q11" s="4" t="s">
        <v>9</v>
      </c>
      <c r="R11" s="8">
        <f t="shared" si="1"/>
        <v>98.413989426596189</v>
      </c>
      <c r="S11" s="8">
        <f t="shared" si="2"/>
        <v>3.4543303522603139</v>
      </c>
      <c r="T11" s="8">
        <f t="shared" si="3"/>
        <v>94.835180001124527</v>
      </c>
      <c r="U11" s="8">
        <f t="shared" si="4"/>
        <v>5.1648199988754726</v>
      </c>
      <c r="V11" s="8">
        <f t="shared" si="5"/>
        <v>94.233396647672365</v>
      </c>
      <c r="W11" s="8">
        <f t="shared" si="6"/>
        <v>5.7666033523276354</v>
      </c>
    </row>
    <row r="12" spans="1:23" ht="16.8" customHeight="1" x14ac:dyDescent="0.3">
      <c r="A12" s="4" t="s">
        <v>10</v>
      </c>
      <c r="B12" s="5">
        <v>313475</v>
      </c>
      <c r="C12" s="5">
        <v>331757</v>
      </c>
      <c r="E12" s="4" t="s">
        <v>10</v>
      </c>
      <c r="F12" s="8">
        <f t="shared" si="0"/>
        <v>94.489340089282209</v>
      </c>
      <c r="H12" s="8">
        <f t="shared" si="7"/>
        <v>3.9246493373139799</v>
      </c>
      <c r="J12" s="4" t="s">
        <v>10</v>
      </c>
      <c r="K12" s="8">
        <f t="shared" si="11"/>
        <v>97.532859683047377</v>
      </c>
      <c r="L12" s="8">
        <f t="shared" si="8"/>
        <v>98.167770876670744</v>
      </c>
      <c r="N12" s="8">
        <f t="shared" si="9"/>
        <v>2.4671403169526229</v>
      </c>
      <c r="O12" s="8">
        <f t="shared" si="10"/>
        <v>1.832229123329256</v>
      </c>
      <c r="Q12" s="4" t="s">
        <v>10</v>
      </c>
      <c r="R12" s="8">
        <f t="shared" si="1"/>
        <v>94.489340089282209</v>
      </c>
      <c r="S12" s="8">
        <f t="shared" si="2"/>
        <v>3.9246493373139799</v>
      </c>
      <c r="T12" s="8">
        <f t="shared" si="3"/>
        <v>97.532859683047377</v>
      </c>
      <c r="U12" s="8">
        <f t="shared" si="4"/>
        <v>2.4671403169526229</v>
      </c>
      <c r="V12" s="8">
        <f t="shared" si="5"/>
        <v>98.167770876670744</v>
      </c>
      <c r="W12" s="8">
        <f t="shared" si="6"/>
        <v>1.832229123329256</v>
      </c>
    </row>
    <row r="13" spans="1:23" ht="16.8" customHeight="1" x14ac:dyDescent="0.3">
      <c r="A13" s="4" t="s">
        <v>11</v>
      </c>
      <c r="B13" s="5">
        <v>364509</v>
      </c>
      <c r="C13" s="5">
        <v>393113</v>
      </c>
      <c r="E13" s="4" t="s">
        <v>11</v>
      </c>
      <c r="F13" s="8">
        <f t="shared" si="0"/>
        <v>92.72372066047167</v>
      </c>
      <c r="H13" s="8">
        <f t="shared" si="7"/>
        <v>1.7656194288105382</v>
      </c>
      <c r="J13" s="4" t="s">
        <v>11</v>
      </c>
      <c r="K13" s="8">
        <f t="shared" si="11"/>
        <v>104.80238983801316</v>
      </c>
      <c r="L13" s="8">
        <f t="shared" si="8"/>
        <v>105.19297898216917</v>
      </c>
      <c r="N13" s="8">
        <f t="shared" si="9"/>
        <v>4.8023898380131556</v>
      </c>
      <c r="O13" s="8">
        <f t="shared" si="10"/>
        <v>5.1929789821691656</v>
      </c>
      <c r="Q13" s="4" t="s">
        <v>11</v>
      </c>
      <c r="R13" s="8">
        <f t="shared" si="1"/>
        <v>92.72372066047167</v>
      </c>
      <c r="S13" s="8">
        <f t="shared" si="2"/>
        <v>1.7656194288105382</v>
      </c>
      <c r="T13" s="8">
        <f t="shared" si="3"/>
        <v>104.80238983801316</v>
      </c>
      <c r="U13" s="8">
        <f t="shared" si="4"/>
        <v>4.8023898380131556</v>
      </c>
      <c r="V13" s="8">
        <f t="shared" si="5"/>
        <v>105.19297898216917</v>
      </c>
      <c r="W13" s="8">
        <f t="shared" si="6"/>
        <v>5.1929789821691656</v>
      </c>
    </row>
    <row r="14" spans="1:23" ht="16.8" customHeight="1" x14ac:dyDescent="0.3">
      <c r="A14" s="4" t="s">
        <v>12</v>
      </c>
      <c r="B14" s="5">
        <v>382137</v>
      </c>
      <c r="C14" s="5">
        <v>415656</v>
      </c>
      <c r="E14" s="4" t="s">
        <v>12</v>
      </c>
      <c r="F14" s="8">
        <f t="shared" si="0"/>
        <v>91.935879669726887</v>
      </c>
      <c r="H14" s="8">
        <f t="shared" si="7"/>
        <v>0.7878409907447832</v>
      </c>
      <c r="J14" s="4" t="s">
        <v>12</v>
      </c>
      <c r="K14" s="8">
        <f t="shared" si="11"/>
        <v>106.02399944509952</v>
      </c>
      <c r="L14" s="8">
        <f t="shared" si="8"/>
        <v>105.80513452318377</v>
      </c>
      <c r="N14" s="8">
        <f t="shared" si="9"/>
        <v>6.0239994450995198</v>
      </c>
      <c r="O14" s="8">
        <f t="shared" si="10"/>
        <v>5.8051345231837672</v>
      </c>
      <c r="Q14" s="4" t="s">
        <v>12</v>
      </c>
      <c r="R14" s="8">
        <f t="shared" si="1"/>
        <v>91.935879669726887</v>
      </c>
      <c r="S14" s="8">
        <f t="shared" si="2"/>
        <v>0.7878409907447832</v>
      </c>
      <c r="T14" s="8">
        <f t="shared" si="3"/>
        <v>106.02399944509952</v>
      </c>
      <c r="U14" s="8">
        <f t="shared" si="4"/>
        <v>6.0239994450995198</v>
      </c>
      <c r="V14" s="8">
        <f t="shared" si="5"/>
        <v>105.80513452318377</v>
      </c>
      <c r="W14" s="8">
        <f t="shared" si="6"/>
        <v>5.8051345231837672</v>
      </c>
    </row>
    <row r="15" spans="1:23" ht="16.8" customHeight="1" x14ac:dyDescent="0.3">
      <c r="A15" s="4" t="s">
        <v>13</v>
      </c>
      <c r="B15" s="5">
        <v>356341</v>
      </c>
      <c r="C15" s="5">
        <v>392588</v>
      </c>
      <c r="E15" s="4" t="s">
        <v>13</v>
      </c>
      <c r="F15" s="8">
        <f t="shared" si="0"/>
        <v>90.767165578163372</v>
      </c>
      <c r="H15" s="8">
        <f t="shared" si="7"/>
        <v>1.1687140915635155</v>
      </c>
      <c r="J15" s="4" t="s">
        <v>13</v>
      </c>
      <c r="K15" s="8">
        <f t="shared" si="11"/>
        <v>97.49251722269949</v>
      </c>
      <c r="L15" s="8">
        <f t="shared" si="8"/>
        <v>96.927051893110345</v>
      </c>
      <c r="N15" s="8">
        <f t="shared" si="9"/>
        <v>2.5074827773005097</v>
      </c>
      <c r="O15" s="8">
        <f t="shared" si="10"/>
        <v>3.0729481068896547</v>
      </c>
      <c r="Q15" s="4" t="s">
        <v>13</v>
      </c>
      <c r="R15" s="8">
        <f t="shared" si="1"/>
        <v>90.767165578163372</v>
      </c>
      <c r="S15" s="8">
        <f t="shared" si="2"/>
        <v>1.1687140915635155</v>
      </c>
      <c r="T15" s="8">
        <f t="shared" si="3"/>
        <v>97.49251722269949</v>
      </c>
      <c r="U15" s="8">
        <f t="shared" si="4"/>
        <v>2.5074827773005097</v>
      </c>
      <c r="V15" s="8">
        <f t="shared" si="5"/>
        <v>96.927051893110345</v>
      </c>
      <c r="W15" s="8">
        <f t="shared" si="6"/>
        <v>3.0729481068896547</v>
      </c>
    </row>
    <row r="16" spans="1:23" ht="16.8" customHeight="1" x14ac:dyDescent="0.3">
      <c r="A16" s="4" t="s">
        <v>14</v>
      </c>
      <c r="B16" s="5">
        <v>348875</v>
      </c>
      <c r="C16" s="5">
        <v>394413</v>
      </c>
      <c r="E16" s="4" t="s">
        <v>14</v>
      </c>
      <c r="F16" s="8">
        <f t="shared" si="0"/>
        <v>88.454234520667413</v>
      </c>
      <c r="H16" s="8">
        <f t="shared" si="7"/>
        <v>2.312931057495959</v>
      </c>
      <c r="J16" s="4" t="s">
        <v>14</v>
      </c>
      <c r="K16" s="8">
        <f t="shared" si="11"/>
        <v>101.96834341447448</v>
      </c>
      <c r="L16" s="8">
        <f t="shared" si="8"/>
        <v>102.5794873795498</v>
      </c>
      <c r="N16" s="8">
        <f t="shared" si="9"/>
        <v>1.9683434144744751</v>
      </c>
      <c r="O16" s="8">
        <f t="shared" si="10"/>
        <v>2.5794873795498034</v>
      </c>
      <c r="Q16" s="4" t="s">
        <v>14</v>
      </c>
      <c r="R16" s="8">
        <f t="shared" si="1"/>
        <v>88.454234520667413</v>
      </c>
      <c r="S16" s="8">
        <f t="shared" si="2"/>
        <v>2.312931057495959</v>
      </c>
      <c r="T16" s="8">
        <f t="shared" si="3"/>
        <v>101.96834341447448</v>
      </c>
      <c r="U16" s="8">
        <f t="shared" si="4"/>
        <v>1.9683434144744751</v>
      </c>
      <c r="V16" s="8">
        <f t="shared" si="5"/>
        <v>102.5794873795498</v>
      </c>
      <c r="W16" s="8">
        <f t="shared" si="6"/>
        <v>2.5794873795498034</v>
      </c>
    </row>
    <row r="17" spans="1:23" ht="16.8" customHeight="1" x14ac:dyDescent="0.3">
      <c r="A17" s="4" t="s">
        <v>15</v>
      </c>
      <c r="B17" s="5">
        <v>327940</v>
      </c>
      <c r="C17" s="5">
        <v>376402</v>
      </c>
      <c r="E17" s="4" t="s">
        <v>15</v>
      </c>
      <c r="F17" s="8">
        <f t="shared" si="0"/>
        <v>87.124935574199924</v>
      </c>
      <c r="H17" s="8">
        <f t="shared" si="7"/>
        <v>1.3292989464674889</v>
      </c>
      <c r="J17" s="4" t="s">
        <v>15</v>
      </c>
      <c r="K17" s="8">
        <f t="shared" si="11"/>
        <v>100.71604396076883</v>
      </c>
      <c r="L17" s="8">
        <f t="shared" si="8"/>
        <v>100.88974958621752</v>
      </c>
      <c r="N17" s="8">
        <f t="shared" si="9"/>
        <v>0.71604396076882892</v>
      </c>
      <c r="O17" s="8">
        <f t="shared" si="10"/>
        <v>0.8897495862175191</v>
      </c>
      <c r="Q17" s="4" t="s">
        <v>15</v>
      </c>
      <c r="R17" s="8">
        <f t="shared" si="1"/>
        <v>87.124935574199924</v>
      </c>
      <c r="S17" s="8">
        <f t="shared" si="2"/>
        <v>1.3292989464674889</v>
      </c>
      <c r="T17" s="8">
        <f t="shared" si="3"/>
        <v>100.71604396076883</v>
      </c>
      <c r="U17" s="8">
        <f t="shared" si="4"/>
        <v>0.71604396076882892</v>
      </c>
      <c r="V17" s="8">
        <f t="shared" si="5"/>
        <v>100.88974958621752</v>
      </c>
      <c r="W17" s="8">
        <f t="shared" si="6"/>
        <v>0.8897495862175191</v>
      </c>
    </row>
    <row r="18" spans="1:23" ht="16.8" customHeight="1" x14ac:dyDescent="0.3">
      <c r="A18" s="4" t="s">
        <v>16</v>
      </c>
      <c r="B18" s="5">
        <v>302342</v>
      </c>
      <c r="C18" s="5">
        <v>351752</v>
      </c>
      <c r="E18" s="4" t="s">
        <v>16</v>
      </c>
      <c r="F18" s="8">
        <f t="shared" si="0"/>
        <v>85.95317155268485</v>
      </c>
      <c r="H18" s="8">
        <f t="shared" si="7"/>
        <v>1.1717640215150738</v>
      </c>
      <c r="J18" s="4" t="s">
        <v>16</v>
      </c>
      <c r="K18" s="8">
        <f t="shared" si="11"/>
        <v>101.47543514596605</v>
      </c>
      <c r="L18" s="8">
        <f t="shared" si="8"/>
        <v>100.7334095094089</v>
      </c>
      <c r="N18" s="8">
        <f t="shared" si="9"/>
        <v>1.4754351459660455</v>
      </c>
      <c r="O18" s="8">
        <f t="shared" si="10"/>
        <v>0.73340950940890082</v>
      </c>
      <c r="Q18" s="4" t="s">
        <v>16</v>
      </c>
      <c r="R18" s="8">
        <f t="shared" si="1"/>
        <v>85.95317155268485</v>
      </c>
      <c r="S18" s="8">
        <f t="shared" si="2"/>
        <v>1.1717640215150738</v>
      </c>
      <c r="T18" s="8">
        <f t="shared" si="3"/>
        <v>101.47543514596605</v>
      </c>
      <c r="U18" s="8">
        <f t="shared" si="4"/>
        <v>1.4754351459660455</v>
      </c>
      <c r="V18" s="8">
        <f t="shared" si="5"/>
        <v>100.7334095094089</v>
      </c>
      <c r="W18" s="8">
        <f t="shared" si="6"/>
        <v>0.73340950940890082</v>
      </c>
    </row>
    <row r="19" spans="1:23" ht="16.8" customHeight="1" x14ac:dyDescent="0.3">
      <c r="A19" s="4" t="s">
        <v>17</v>
      </c>
      <c r="B19" s="5">
        <v>267952</v>
      </c>
      <c r="C19" s="5">
        <v>321980</v>
      </c>
      <c r="E19" s="4" t="s">
        <v>17</v>
      </c>
      <c r="F19" s="8">
        <f t="shared" si="0"/>
        <v>83.220075781104413</v>
      </c>
      <c r="H19" s="8">
        <f t="shared" si="7"/>
        <v>2.7330957715804374</v>
      </c>
      <c r="J19" s="4" t="s">
        <v>17</v>
      </c>
      <c r="K19" s="8">
        <f t="shared" si="11"/>
        <v>106.22582979018622</v>
      </c>
      <c r="L19" s="8">
        <f t="shared" si="8"/>
        <v>104.49909531266482</v>
      </c>
      <c r="N19" s="8">
        <f t="shared" si="9"/>
        <v>6.225829790186225</v>
      </c>
      <c r="O19" s="8">
        <f t="shared" si="10"/>
        <v>4.4990953126648208</v>
      </c>
      <c r="Q19" s="4" t="s">
        <v>17</v>
      </c>
      <c r="R19" s="8">
        <f t="shared" si="1"/>
        <v>83.220075781104413</v>
      </c>
      <c r="S19" s="8">
        <f t="shared" si="2"/>
        <v>2.7330957715804374</v>
      </c>
      <c r="T19" s="8">
        <f t="shared" si="3"/>
        <v>106.22582979018622</v>
      </c>
      <c r="U19" s="8">
        <f t="shared" si="4"/>
        <v>6.225829790186225</v>
      </c>
      <c r="V19" s="8">
        <f t="shared" si="5"/>
        <v>104.49909531266482</v>
      </c>
      <c r="W19" s="8">
        <f t="shared" si="6"/>
        <v>4.4990953126648208</v>
      </c>
    </row>
    <row r="20" spans="1:23" ht="16.8" customHeight="1" x14ac:dyDescent="0.3">
      <c r="A20" s="4" t="s">
        <v>18</v>
      </c>
      <c r="B20" s="5">
        <v>202153</v>
      </c>
      <c r="C20" s="5">
        <v>264483</v>
      </c>
      <c r="E20" s="4" t="s">
        <v>18</v>
      </c>
      <c r="F20" s="8">
        <f t="shared" si="0"/>
        <v>76.433267922702029</v>
      </c>
      <c r="H20" s="7"/>
      <c r="J20" s="4" t="s">
        <v>18</v>
      </c>
      <c r="K20" s="7"/>
      <c r="L20" s="7"/>
      <c r="N20" s="7"/>
      <c r="O20" s="7"/>
      <c r="Q20" s="4" t="s">
        <v>18</v>
      </c>
      <c r="R20" s="8">
        <f t="shared" si="1"/>
        <v>76.433267922702029</v>
      </c>
      <c r="S20" s="8">
        <f t="shared" si="2"/>
        <v>0</v>
      </c>
      <c r="T20" s="8">
        <f t="shared" si="3"/>
        <v>0</v>
      </c>
      <c r="U20" s="8">
        <f t="shared" si="4"/>
        <v>0</v>
      </c>
      <c r="V20" s="8">
        <f t="shared" si="5"/>
        <v>0</v>
      </c>
      <c r="W20" s="8">
        <f t="shared" si="6"/>
        <v>0</v>
      </c>
    </row>
    <row r="21" spans="1:23" s="2" customFormat="1" x14ac:dyDescent="0.3">
      <c r="A21" s="40" t="s">
        <v>45</v>
      </c>
      <c r="B21" s="40"/>
      <c r="C21" s="40"/>
      <c r="F21" s="15"/>
      <c r="H21" s="16">
        <f>SUM(H6:H20)/14</f>
        <v>1.6170795215818887</v>
      </c>
      <c r="Q21" s="13" t="s">
        <v>35</v>
      </c>
      <c r="R21" s="13"/>
      <c r="S21" s="16">
        <f>SUM(S5:S20)</f>
        <v>22.639113302146441</v>
      </c>
      <c r="T21" s="16"/>
      <c r="U21" s="16">
        <f t="shared" ref="U21:W21" si="12">SUM(U5:U20)</f>
        <v>45.736076240858665</v>
      </c>
      <c r="V21" s="16"/>
      <c r="W21" s="16">
        <f t="shared" si="12"/>
        <v>44.709593327013991</v>
      </c>
    </row>
    <row r="22" spans="1:23" ht="43.2" customHeight="1" x14ac:dyDescent="0.3">
      <c r="A22" s="17"/>
      <c r="B22" s="17"/>
      <c r="C22" s="17"/>
      <c r="E22" s="33" t="s">
        <v>46</v>
      </c>
      <c r="F22" s="33"/>
      <c r="H22" s="27" t="s">
        <v>42</v>
      </c>
      <c r="J22" s="34" t="s">
        <v>43</v>
      </c>
      <c r="K22" s="35"/>
      <c r="L22" s="35"/>
      <c r="N22" s="34" t="s">
        <v>44</v>
      </c>
      <c r="O22" s="35"/>
      <c r="Q22" s="28" t="s">
        <v>25</v>
      </c>
      <c r="R22" s="29" t="s">
        <v>36</v>
      </c>
      <c r="S22" s="30">
        <f>S21/14</f>
        <v>1.6170795215818887</v>
      </c>
      <c r="T22" s="31"/>
      <c r="U22" s="30">
        <f>U21/14</f>
        <v>3.2668625886327618</v>
      </c>
      <c r="V22" s="31"/>
      <c r="W22" s="30">
        <f>W21/14</f>
        <v>3.1935423805009995</v>
      </c>
    </row>
    <row r="23" spans="1:23" x14ac:dyDescent="0.3">
      <c r="A23" s="17"/>
      <c r="B23" s="17"/>
      <c r="C23" s="17"/>
      <c r="E23" s="26"/>
      <c r="F23" s="26"/>
      <c r="H23" s="16"/>
      <c r="Q23" s="18"/>
      <c r="R23" s="19"/>
      <c r="S23" s="20"/>
      <c r="T23" s="21"/>
      <c r="U23" s="20"/>
      <c r="V23" s="21"/>
      <c r="W23" s="20"/>
    </row>
    <row r="25" spans="1:23" ht="31.2" customHeight="1" x14ac:dyDescent="0.3">
      <c r="A25" s="22" t="s">
        <v>37</v>
      </c>
      <c r="B25" s="23">
        <f>(3*S22)+U22+W22</f>
        <v>11.311643533879426</v>
      </c>
      <c r="C25" s="37" t="s">
        <v>38</v>
      </c>
      <c r="D25" s="38"/>
      <c r="E25" s="38"/>
      <c r="F25" s="32" t="s">
        <v>41</v>
      </c>
      <c r="G25" s="32"/>
      <c r="H25" s="32"/>
    </row>
  </sheetData>
  <mergeCells count="12">
    <mergeCell ref="F25:H25"/>
    <mergeCell ref="E22:F22"/>
    <mergeCell ref="J22:L22"/>
    <mergeCell ref="N22:O22"/>
    <mergeCell ref="A1:XFD2"/>
    <mergeCell ref="C25:E25"/>
    <mergeCell ref="Q3:W3"/>
    <mergeCell ref="A21:C21"/>
    <mergeCell ref="E3:F3"/>
    <mergeCell ref="A3:C3"/>
    <mergeCell ref="J3:L3"/>
    <mergeCell ref="N3:O3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HP_User</dc:creator>
  <cp:lastModifiedBy>HP_User</cp:lastModifiedBy>
  <cp:lastPrinted>2025-10-22T07:47:01Z</cp:lastPrinted>
  <dcterms:created xsi:type="dcterms:W3CDTF">2025-10-22T06:41:15Z</dcterms:created>
  <dcterms:modified xsi:type="dcterms:W3CDTF">2025-10-27T10:40:49Z</dcterms:modified>
</cp:coreProperties>
</file>